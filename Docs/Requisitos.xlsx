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0706bd09e6b5aa/Trabalho/DEV/GestaoPiscina/Docs/"/>
    </mc:Choice>
  </mc:AlternateContent>
  <xr:revisionPtr revIDLastSave="19" documentId="8_{9E92D66D-165D-42BC-BCAC-25A90C099D40}" xr6:coauthVersionLast="47" xr6:coauthVersionMax="47" xr10:uidLastSave="{DAD9F22D-9A6A-4DF6-992B-A61449716292}"/>
  <bookViews>
    <workbookView xWindow="28680" yWindow="-120" windowWidth="38640" windowHeight="15720" xr2:uid="{0FF7F3A3-45CB-4B48-859E-5FE7B9E0D8E5}"/>
  </bookViews>
  <sheets>
    <sheet name="Planilha2" sheetId="2" r:id="rId1"/>
  </sheets>
  <calcPr calcId="191029"/>
  <pivotCaches>
    <pivotCache cacheId="4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2" l="1"/>
  <c r="M29" i="2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J24" i="2"/>
  <c r="M24" i="2" l="1"/>
  <c r="P19" i="2" s="1"/>
</calcChain>
</file>

<file path=xl/sharedStrings.xml><?xml version="1.0" encoding="utf-8"?>
<sst xmlns="http://schemas.openxmlformats.org/spreadsheetml/2006/main" count="105" uniqueCount="40">
  <si>
    <t>Recurso</t>
  </si>
  <si>
    <t>Tester</t>
  </si>
  <si>
    <t>Gestão de Ordens de Serviço (OS) com checklist obrigatório</t>
  </si>
  <si>
    <t>Upload de fotos e vídeos no fluxo da OS</t>
  </si>
  <si>
    <t>Emissão de relatório diário básico em PDF enviado automaticamente ao cliente</t>
  </si>
  <si>
    <t>Autenticação e controle de perfis de acesso</t>
  </si>
  <si>
    <t>Interface responsiva para desktop, tablet e celular</t>
  </si>
  <si>
    <t>Relatórios mensais avançados com assinatura digital</t>
  </si>
  <si>
    <t>Controle de estoque do cliente e alertas de reabastecimento</t>
  </si>
  <si>
    <t>Integração com GPS para rotas e cálculo de deslocamento</t>
  </si>
  <si>
    <t>Bonificação de funcionários baseada em performance</t>
  </si>
  <si>
    <t>Reagendamento de visitas e gestão de ocorrências</t>
  </si>
  <si>
    <t>Gestão de equipamentos automatizados com alertas preventivos</t>
  </si>
  <si>
    <t>Operação offline (PWA) com sincronização automática</t>
  </si>
  <si>
    <t>Melhorias de usabilidade (UI/UX) e performance</t>
  </si>
  <si>
    <t>Item</t>
  </si>
  <si>
    <t>Horas</t>
  </si>
  <si>
    <t>Valor Unit.</t>
  </si>
  <si>
    <t>Valor Total</t>
  </si>
  <si>
    <t>Desenvolvedor</t>
  </si>
  <si>
    <t>Documentação</t>
  </si>
  <si>
    <t>Configuração do ambiente e arquitetura</t>
  </si>
  <si>
    <t>Encerramento</t>
  </si>
  <si>
    <t>Arquiteto</t>
  </si>
  <si>
    <t>Fase 1</t>
  </si>
  <si>
    <t>Fase 2</t>
  </si>
  <si>
    <t>Fase 3</t>
  </si>
  <si>
    <t>Testes unitários e ajustes</t>
  </si>
  <si>
    <t>Testes integrados (usuário)</t>
  </si>
  <si>
    <t>Go Live (Entrada em produção)</t>
  </si>
  <si>
    <t>Operação assistida</t>
  </si>
  <si>
    <t>Consultor</t>
  </si>
  <si>
    <t>Fase</t>
  </si>
  <si>
    <t>Total Geral</t>
  </si>
  <si>
    <t>Soma de Horas</t>
  </si>
  <si>
    <t>Soma de Valor Total</t>
  </si>
  <si>
    <t>Total</t>
  </si>
  <si>
    <t>Recurso &gt; Item</t>
  </si>
  <si>
    <t>Valor</t>
  </si>
  <si>
    <t>Cadastros básicos: Clientes, Piscinas, Produtos, Síndicos e Usuários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</si>
</sst>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15">
    <dxf>
      <numFmt numFmtId="164" formatCode="&quot;R$&quot;\ #,##0.00"/>
      <alignment horizontal="general" vertical="center" textRotation="0" wrapText="0" indent="0" justifyLastLine="0" shrinkToFit="0" readingOrder="0"/>
    </dxf>
    <dxf>
      <numFmt numFmtId="164" formatCode="&quot;R$&quot;\ #,##0.00"/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&quot;R$&quot;\ #,##0.00"/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visson Sobral" refreshedDate="45869.700718981483" createdVersion="8" refreshedVersion="8" minRefreshableVersion="3" recordCount="21" xr:uid="{9D95A224-3EBA-4889-870B-02133977CB25}">
  <cacheSource type="worksheet">
    <worksheetSource name="Tabela1"/>
  </cacheSource>
  <cacheFields count="6">
    <cacheField name="Fase" numFmtId="0">
      <sharedItems/>
    </cacheField>
    <cacheField name="Item" numFmtId="0">
      <sharedItems count="22">
        <s v="Documentação"/>
        <s v="Configuração do ambiente e arquitetura"/>
        <s v="Cadastros básicos: Clientes, Piscinas, Produtos, Síndicos e Usuários"/>
        <s v="Gestão de Ordens de Serviço (OS) com checklist obrigatório"/>
        <s v="Upload de fotos e vídeos no fluxo da OS"/>
        <s v="Emissão de relatório diário básico em PDF enviado automaticamente ao cliente"/>
        <s v="Autenticação e controle de perfis de acesso"/>
        <s v="Interface responsiva para desktop, tablet e celular"/>
        <s v="Testes unitários e ajustes"/>
        <s v="Testes integrados (usuário)"/>
        <s v="Go Live (Entrada em produção)"/>
        <s v="Operação assistida"/>
        <s v="Relatórios mensais avançados com assinatura digital"/>
        <s v="Controle de estoque do cliente e alertas de reabastecimento"/>
        <s v="Integração com GPS para rotas e cálculo de deslocamento"/>
        <s v="Bonificação de funcionários baseada em performance"/>
        <s v="Reagendamento de visitas e gestão de ocorrências"/>
        <s v="Gestão de equipamentos automatizados com alertas preventivos"/>
        <s v="Operação offline (PWA) com sincronização automática"/>
        <s v="Melhorias de usabilidade (UI/UX) e performance"/>
        <s v="Encerramento"/>
        <s v="Cadastros básicos: Clientes, Piscinas, Produtos e Usuários" u="1"/>
      </sharedItems>
    </cacheField>
    <cacheField name="Horas" numFmtId="0">
      <sharedItems containsSemiMixedTypes="0" containsString="0" containsNumber="1" containsInteger="1" minValue="4" maxValue="40"/>
    </cacheField>
    <cacheField name="Recurso" numFmtId="0">
      <sharedItems count="4">
        <s v="Arquiteto"/>
        <s v="Desenvolvedor"/>
        <s v="Tester"/>
        <s v="Consultor"/>
      </sharedItems>
    </cacheField>
    <cacheField name="Valor Unit." numFmtId="164">
      <sharedItems containsSemiMixedTypes="0" containsString="0" containsNumber="1" containsInteger="1" minValue="75" maxValue="120"/>
    </cacheField>
    <cacheField name="Valor Total" numFmtId="164">
      <sharedItems containsSemiMixedTypes="0" containsString="0" containsNumber="1" containsInteger="1" minValue="3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Fase 1"/>
    <x v="0"/>
    <n v="8"/>
    <x v="0"/>
    <n v="120"/>
    <n v="960"/>
  </r>
  <r>
    <s v="Fase 1"/>
    <x v="1"/>
    <n v="20"/>
    <x v="0"/>
    <n v="120"/>
    <n v="2400"/>
  </r>
  <r>
    <s v="Fase 1"/>
    <x v="2"/>
    <n v="40"/>
    <x v="1"/>
    <n v="100"/>
    <n v="4000"/>
  </r>
  <r>
    <s v="Fase 1"/>
    <x v="3"/>
    <n v="30"/>
    <x v="1"/>
    <n v="100"/>
    <n v="3000"/>
  </r>
  <r>
    <s v="Fase 1"/>
    <x v="4"/>
    <n v="20"/>
    <x v="1"/>
    <n v="100"/>
    <n v="2000"/>
  </r>
  <r>
    <s v="Fase 1"/>
    <x v="5"/>
    <n v="20"/>
    <x v="1"/>
    <n v="100"/>
    <n v="2000"/>
  </r>
  <r>
    <s v="Fase 1"/>
    <x v="6"/>
    <n v="8"/>
    <x v="1"/>
    <n v="100"/>
    <n v="800"/>
  </r>
  <r>
    <s v="Fase 1"/>
    <x v="7"/>
    <n v="16"/>
    <x v="1"/>
    <n v="100"/>
    <n v="1600"/>
  </r>
  <r>
    <s v="Fase 1"/>
    <x v="8"/>
    <n v="24"/>
    <x v="2"/>
    <n v="75"/>
    <n v="1800"/>
  </r>
  <r>
    <s v="Fase 1"/>
    <x v="9"/>
    <n v="16"/>
    <x v="3"/>
    <n v="75"/>
    <n v="1200"/>
  </r>
  <r>
    <s v="Fase 1"/>
    <x v="10"/>
    <n v="4"/>
    <x v="3"/>
    <n v="75"/>
    <n v="300"/>
  </r>
  <r>
    <s v="Fase 1"/>
    <x v="11"/>
    <n v="16"/>
    <x v="3"/>
    <n v="75"/>
    <n v="1200"/>
  </r>
  <r>
    <s v="Fase 2"/>
    <x v="12"/>
    <n v="20"/>
    <x v="1"/>
    <n v="100"/>
    <n v="2000"/>
  </r>
  <r>
    <s v="Fase 2"/>
    <x v="13"/>
    <n v="20"/>
    <x v="1"/>
    <n v="100"/>
    <n v="2000"/>
  </r>
  <r>
    <s v="Fase 2"/>
    <x v="14"/>
    <n v="24"/>
    <x v="1"/>
    <n v="100"/>
    <n v="2400"/>
  </r>
  <r>
    <s v="Fase 2"/>
    <x v="15"/>
    <n v="20"/>
    <x v="1"/>
    <n v="100"/>
    <n v="2000"/>
  </r>
  <r>
    <s v="Fase 3"/>
    <x v="16"/>
    <n v="16"/>
    <x v="1"/>
    <n v="100"/>
    <n v="1600"/>
  </r>
  <r>
    <s v="Fase 3"/>
    <x v="17"/>
    <n v="20"/>
    <x v="1"/>
    <n v="100"/>
    <n v="2000"/>
  </r>
  <r>
    <s v="Fase 3"/>
    <x v="18"/>
    <n v="32"/>
    <x v="1"/>
    <n v="100"/>
    <n v="3200"/>
  </r>
  <r>
    <s v="Fase 3"/>
    <x v="19"/>
    <n v="20"/>
    <x v="1"/>
    <n v="100"/>
    <n v="2000"/>
  </r>
  <r>
    <s v="Fase 3"/>
    <x v="20"/>
    <n v="4"/>
    <x v="0"/>
    <n v="120"/>
    <n v="4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2A398-2C91-44C4-B090-B55E20C8CCE9}" name="Tabela dinâmica2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curso &gt; Item">
  <location ref="T2:V28" firstHeaderRow="0" firstDataRow="1" firstDataCol="1"/>
  <pivotFields count="6">
    <pivotField showAll="0"/>
    <pivotField axis="axisRow" showAll="0">
      <items count="23">
        <item x="6"/>
        <item x="15"/>
        <item m="1" x="21"/>
        <item x="1"/>
        <item x="13"/>
        <item x="0"/>
        <item x="5"/>
        <item x="20"/>
        <item x="17"/>
        <item x="3"/>
        <item x="10"/>
        <item x="14"/>
        <item x="7"/>
        <item x="19"/>
        <item x="11"/>
        <item x="18"/>
        <item x="16"/>
        <item x="12"/>
        <item x="9"/>
        <item x="8"/>
        <item x="4"/>
        <item x="2"/>
        <item t="default"/>
      </items>
    </pivotField>
    <pivotField dataField="1" showAll="0"/>
    <pivotField axis="axisRow" showAll="0">
      <items count="5">
        <item x="0"/>
        <item x="3"/>
        <item x="1"/>
        <item x="2"/>
        <item t="default"/>
      </items>
    </pivotField>
    <pivotField numFmtId="164" showAll="0"/>
    <pivotField dataField="1" numFmtId="164" showAll="0"/>
  </pivotFields>
  <rowFields count="2">
    <field x="3"/>
    <field x="1"/>
  </rowFields>
  <rowItems count="26">
    <i>
      <x/>
    </i>
    <i r="1">
      <x v="3"/>
    </i>
    <i r="1">
      <x v="5"/>
    </i>
    <i r="1">
      <x v="7"/>
    </i>
    <i>
      <x v="1"/>
    </i>
    <i r="1">
      <x v="10"/>
    </i>
    <i r="1">
      <x v="14"/>
    </i>
    <i r="1">
      <x v="18"/>
    </i>
    <i>
      <x v="2"/>
    </i>
    <i r="1">
      <x/>
    </i>
    <i r="1">
      <x v="1"/>
    </i>
    <i r="1">
      <x v="4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0"/>
    </i>
    <i r="1">
      <x v="21"/>
    </i>
    <i>
      <x v="3"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Horas" fld="2" baseField="0" baseItem="0"/>
    <dataField name="Soma de Valor Total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377A9-8B67-4460-B9FA-2F431678656F}" name="Tabela1" displayName="Tabela1" ref="H2:M24" totalsRowCount="1" headerRowDxfId="14" dataDxfId="13" totalsRowDxfId="12">
  <autoFilter ref="H2:M23" xr:uid="{C67377A9-8B67-4460-B9FA-2F431678656F}"/>
  <tableColumns count="6">
    <tableColumn id="1" xr3:uid="{9A00E71B-0C22-4676-B207-02FEAD7B1D46}" name="Fase" totalsRowLabel="Total" dataDxfId="11" totalsRowDxfId="10"/>
    <tableColumn id="2" xr3:uid="{5FB9431E-42B7-4383-821B-59A8167AFBFC}" name="Item" dataDxfId="9" totalsRowDxfId="8"/>
    <tableColumn id="3" xr3:uid="{C2B35993-B025-42F7-831A-366A5C1002A2}" name="Horas" totalsRowFunction="sum" dataDxfId="7" totalsRowDxfId="6"/>
    <tableColumn id="4" xr3:uid="{9C63D28F-2D75-4750-9E8C-F8C8EFA23D8F}" name="Recurso" dataDxfId="5" totalsRowDxfId="4"/>
    <tableColumn id="5" xr3:uid="{92E94915-15DE-4828-86C2-9DF73A0005EF}" name="Valor Unit." dataDxfId="3" totalsRowDxfId="2">
      <calculatedColumnFormula>VLOOKUP(Tabela1[[#This Row],[Recurso]],Tabela2[],2,FALSE)</calculatedColumnFormula>
    </tableColumn>
    <tableColumn id="6" xr3:uid="{E7D5748C-E54E-48F9-A92A-197C4B2B2159}" name="Valor Total" totalsRowFunction="sum" dataDxfId="1" totalsRowDxfId="0">
      <calculatedColumnFormula>L3*J3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63CD1-D898-451B-99A5-CA0BB451791B}" name="Tabela2" displayName="Tabela2" ref="B2:C6" totalsRowShown="0">
  <autoFilter ref="B2:C6" xr:uid="{29E63CD1-D898-451B-99A5-CA0BB451791B}"/>
  <tableColumns count="2">
    <tableColumn id="1" xr3:uid="{BE19F672-651E-4DC9-AD38-CB2F8C950FCC}" name="Recurso"/>
    <tableColumn id="2" xr3:uid="{29803E43-FB5B-49AA-A8BA-DF12305079A8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F75F-1DD9-4A91-8E30-81F4CE3B2615}">
  <dimension ref="B2:V31"/>
  <sheetViews>
    <sheetView tabSelected="1" topLeftCell="A6" workbookViewId="0">
      <selection activeCell="M32" sqref="M32"/>
    </sheetView>
  </sheetViews>
  <sheetFormatPr defaultRowHeight="14.4" x14ac:dyDescent="0.3"/>
  <cols>
    <col min="2" max="2" width="13.5546875" bestFit="1" customWidth="1"/>
    <col min="8" max="8" width="7.21875" bestFit="1" customWidth="1"/>
    <col min="9" max="9" width="46.109375" style="6" customWidth="1"/>
    <col min="10" max="10" width="8.33203125" bestFit="1" customWidth="1"/>
    <col min="11" max="11" width="13.5546875" customWidth="1"/>
    <col min="12" max="12" width="12.21875" bestFit="1" customWidth="1"/>
    <col min="13" max="13" width="12.33203125" bestFit="1" customWidth="1"/>
    <col min="16" max="16" width="10.5546875" bestFit="1" customWidth="1"/>
    <col min="20" max="20" width="74" bestFit="1" customWidth="1"/>
    <col min="21" max="21" width="14.109375" bestFit="1" customWidth="1"/>
    <col min="22" max="22" width="18.33203125" bestFit="1" customWidth="1"/>
  </cols>
  <sheetData>
    <row r="2" spans="2:22" x14ac:dyDescent="0.3">
      <c r="B2" t="s">
        <v>0</v>
      </c>
      <c r="C2" t="s">
        <v>38</v>
      </c>
      <c r="H2" s="10" t="s">
        <v>32</v>
      </c>
      <c r="I2" s="8" t="s">
        <v>15</v>
      </c>
      <c r="J2" s="1" t="s">
        <v>16</v>
      </c>
      <c r="K2" s="1" t="s">
        <v>0</v>
      </c>
      <c r="L2" s="1" t="s">
        <v>17</v>
      </c>
      <c r="M2" s="1" t="s">
        <v>18</v>
      </c>
      <c r="T2" s="3" t="s">
        <v>37</v>
      </c>
      <c r="U2" t="s">
        <v>34</v>
      </c>
      <c r="V2" t="s">
        <v>35</v>
      </c>
    </row>
    <row r="3" spans="2:22" x14ac:dyDescent="0.3">
      <c r="B3" t="s">
        <v>23</v>
      </c>
      <c r="C3">
        <v>120</v>
      </c>
      <c r="H3" s="1" t="s">
        <v>24</v>
      </c>
      <c r="I3" s="8" t="s">
        <v>20</v>
      </c>
      <c r="J3" s="1">
        <v>8</v>
      </c>
      <c r="K3" s="1" t="s">
        <v>23</v>
      </c>
      <c r="L3" s="9">
        <f>VLOOKUP(Tabela1[[#This Row],[Recurso]],Tabela2[],2,FALSE)</f>
        <v>120</v>
      </c>
      <c r="M3" s="9">
        <f t="shared" ref="M3:M23" si="0">L3*J3</f>
        <v>960</v>
      </c>
      <c r="T3" s="4" t="s">
        <v>23</v>
      </c>
      <c r="U3" s="11">
        <v>32</v>
      </c>
      <c r="V3" s="2">
        <v>3840</v>
      </c>
    </row>
    <row r="4" spans="2:22" x14ac:dyDescent="0.3">
      <c r="B4" t="s">
        <v>19</v>
      </c>
      <c r="C4">
        <v>100</v>
      </c>
      <c r="H4" s="1" t="s">
        <v>24</v>
      </c>
      <c r="I4" s="8" t="s">
        <v>21</v>
      </c>
      <c r="J4" s="1">
        <v>20</v>
      </c>
      <c r="K4" s="1" t="s">
        <v>23</v>
      </c>
      <c r="L4" s="9">
        <f>VLOOKUP(Tabela1[[#This Row],[Recurso]],Tabela2[],2,FALSE)</f>
        <v>120</v>
      </c>
      <c r="M4" s="9">
        <f t="shared" si="0"/>
        <v>2400</v>
      </c>
      <c r="T4" s="5" t="s">
        <v>21</v>
      </c>
      <c r="U4" s="11">
        <v>20</v>
      </c>
      <c r="V4" s="2">
        <v>2400</v>
      </c>
    </row>
    <row r="5" spans="2:22" ht="28.8" x14ac:dyDescent="0.3">
      <c r="B5" t="s">
        <v>1</v>
      </c>
      <c r="C5">
        <v>75</v>
      </c>
      <c r="H5" s="1" t="s">
        <v>24</v>
      </c>
      <c r="I5" s="7" t="s">
        <v>39</v>
      </c>
      <c r="J5" s="1">
        <v>40</v>
      </c>
      <c r="K5" s="1" t="s">
        <v>19</v>
      </c>
      <c r="L5" s="9">
        <f>VLOOKUP(Tabela1[[#This Row],[Recurso]],Tabela2[],2,FALSE)</f>
        <v>100</v>
      </c>
      <c r="M5" s="9">
        <f t="shared" si="0"/>
        <v>4000</v>
      </c>
      <c r="T5" s="5" t="s">
        <v>20</v>
      </c>
      <c r="U5" s="11">
        <v>8</v>
      </c>
      <c r="V5" s="2">
        <v>960</v>
      </c>
    </row>
    <row r="6" spans="2:22" ht="28.8" x14ac:dyDescent="0.3">
      <c r="B6" t="s">
        <v>31</v>
      </c>
      <c r="C6">
        <v>75</v>
      </c>
      <c r="H6" s="1" t="s">
        <v>24</v>
      </c>
      <c r="I6" s="7" t="s">
        <v>2</v>
      </c>
      <c r="J6" s="1">
        <v>30</v>
      </c>
      <c r="K6" s="1" t="s">
        <v>19</v>
      </c>
      <c r="L6" s="9">
        <f>VLOOKUP(Tabela1[[#This Row],[Recurso]],Tabela2[],2,FALSE)</f>
        <v>100</v>
      </c>
      <c r="M6" s="9">
        <f t="shared" si="0"/>
        <v>3000</v>
      </c>
      <c r="T6" s="5" t="s">
        <v>22</v>
      </c>
      <c r="U6" s="11">
        <v>4</v>
      </c>
      <c r="V6" s="2">
        <v>480</v>
      </c>
    </row>
    <row r="7" spans="2:22" x14ac:dyDescent="0.3">
      <c r="H7" s="1" t="s">
        <v>24</v>
      </c>
      <c r="I7" s="7" t="s">
        <v>3</v>
      </c>
      <c r="J7" s="1">
        <v>20</v>
      </c>
      <c r="K7" s="1" t="s">
        <v>19</v>
      </c>
      <c r="L7" s="9">
        <f>VLOOKUP(Tabela1[[#This Row],[Recurso]],Tabela2[],2,FALSE)</f>
        <v>100</v>
      </c>
      <c r="M7" s="9">
        <f t="shared" si="0"/>
        <v>2000</v>
      </c>
      <c r="T7" s="4" t="s">
        <v>31</v>
      </c>
      <c r="U7" s="11">
        <v>36</v>
      </c>
      <c r="V7" s="2">
        <v>2700</v>
      </c>
    </row>
    <row r="8" spans="2:22" ht="28.8" x14ac:dyDescent="0.3">
      <c r="H8" s="1" t="s">
        <v>24</v>
      </c>
      <c r="I8" s="7" t="s">
        <v>4</v>
      </c>
      <c r="J8" s="1">
        <v>20</v>
      </c>
      <c r="K8" s="1" t="s">
        <v>19</v>
      </c>
      <c r="L8" s="9">
        <f>VLOOKUP(Tabela1[[#This Row],[Recurso]],Tabela2[],2,FALSE)</f>
        <v>100</v>
      </c>
      <c r="M8" s="9">
        <f t="shared" si="0"/>
        <v>2000</v>
      </c>
      <c r="T8" s="5" t="s">
        <v>29</v>
      </c>
      <c r="U8" s="11">
        <v>4</v>
      </c>
      <c r="V8" s="2">
        <v>300</v>
      </c>
    </row>
    <row r="9" spans="2:22" x14ac:dyDescent="0.3">
      <c r="H9" s="1" t="s">
        <v>24</v>
      </c>
      <c r="I9" s="7" t="s">
        <v>5</v>
      </c>
      <c r="J9" s="1">
        <v>8</v>
      </c>
      <c r="K9" s="1" t="s">
        <v>19</v>
      </c>
      <c r="L9" s="9">
        <f>VLOOKUP(Tabela1[[#This Row],[Recurso]],Tabela2[],2,FALSE)</f>
        <v>100</v>
      </c>
      <c r="M9" s="9">
        <f t="shared" si="0"/>
        <v>800</v>
      </c>
      <c r="T9" s="5" t="s">
        <v>30</v>
      </c>
      <c r="U9" s="11">
        <v>16</v>
      </c>
      <c r="V9" s="2">
        <v>1200</v>
      </c>
    </row>
    <row r="10" spans="2:22" x14ac:dyDescent="0.3">
      <c r="H10" s="1" t="s">
        <v>24</v>
      </c>
      <c r="I10" s="7" t="s">
        <v>6</v>
      </c>
      <c r="J10" s="1">
        <v>16</v>
      </c>
      <c r="K10" s="1" t="s">
        <v>19</v>
      </c>
      <c r="L10" s="9">
        <f>VLOOKUP(Tabela1[[#This Row],[Recurso]],Tabela2[],2,FALSE)</f>
        <v>100</v>
      </c>
      <c r="M10" s="9">
        <f t="shared" si="0"/>
        <v>1600</v>
      </c>
      <c r="T10" s="5" t="s">
        <v>28</v>
      </c>
      <c r="U10" s="11">
        <v>16</v>
      </c>
      <c r="V10" s="2">
        <v>1200</v>
      </c>
    </row>
    <row r="11" spans="2:22" x14ac:dyDescent="0.3">
      <c r="H11" s="1" t="s">
        <v>24</v>
      </c>
      <c r="I11" s="8" t="s">
        <v>27</v>
      </c>
      <c r="J11" s="1">
        <v>24</v>
      </c>
      <c r="K11" s="1" t="s">
        <v>1</v>
      </c>
      <c r="L11" s="9">
        <f>VLOOKUP(Tabela1[[#This Row],[Recurso]],Tabela2[],2,FALSE)</f>
        <v>75</v>
      </c>
      <c r="M11" s="9">
        <f t="shared" si="0"/>
        <v>1800</v>
      </c>
      <c r="T11" s="4" t="s">
        <v>19</v>
      </c>
      <c r="U11" s="11">
        <v>306</v>
      </c>
      <c r="V11" s="2">
        <v>30600</v>
      </c>
    </row>
    <row r="12" spans="2:22" x14ac:dyDescent="0.3">
      <c r="H12" s="1" t="s">
        <v>24</v>
      </c>
      <c r="I12" s="7" t="s">
        <v>28</v>
      </c>
      <c r="J12" s="1">
        <v>16</v>
      </c>
      <c r="K12" s="1" t="s">
        <v>31</v>
      </c>
      <c r="L12" s="9">
        <f>VLOOKUP(Tabela1[[#This Row],[Recurso]],Tabela2[],2,FALSE)</f>
        <v>75</v>
      </c>
      <c r="M12" s="9">
        <f t="shared" si="0"/>
        <v>1200</v>
      </c>
      <c r="T12" s="5" t="s">
        <v>5</v>
      </c>
      <c r="U12" s="11">
        <v>8</v>
      </c>
      <c r="V12" s="2">
        <v>800</v>
      </c>
    </row>
    <row r="13" spans="2:22" x14ac:dyDescent="0.3">
      <c r="H13" s="1" t="s">
        <v>24</v>
      </c>
      <c r="I13" s="7" t="s">
        <v>29</v>
      </c>
      <c r="J13" s="1">
        <v>4</v>
      </c>
      <c r="K13" s="1" t="s">
        <v>31</v>
      </c>
      <c r="L13" s="9">
        <f>VLOOKUP(Tabela1[[#This Row],[Recurso]],Tabela2[],2,FALSE)</f>
        <v>75</v>
      </c>
      <c r="M13" s="9">
        <f t="shared" si="0"/>
        <v>300</v>
      </c>
      <c r="T13" s="5" t="s">
        <v>10</v>
      </c>
      <c r="U13" s="11">
        <v>20</v>
      </c>
      <c r="V13" s="2">
        <v>2000</v>
      </c>
    </row>
    <row r="14" spans="2:22" x14ac:dyDescent="0.3">
      <c r="H14" s="1" t="s">
        <v>24</v>
      </c>
      <c r="I14" s="7" t="s">
        <v>30</v>
      </c>
      <c r="J14" s="1">
        <v>16</v>
      </c>
      <c r="K14" s="1" t="s">
        <v>31</v>
      </c>
      <c r="L14" s="9">
        <f>VLOOKUP(Tabela1[[#This Row],[Recurso]],Tabela2[],2,FALSE)</f>
        <v>75</v>
      </c>
      <c r="M14" s="9">
        <f t="shared" si="0"/>
        <v>1200</v>
      </c>
      <c r="T14" s="5" t="s">
        <v>8</v>
      </c>
      <c r="U14" s="11">
        <v>20</v>
      </c>
      <c r="V14" s="2">
        <v>2000</v>
      </c>
    </row>
    <row r="15" spans="2:22" x14ac:dyDescent="0.3">
      <c r="H15" s="1" t="s">
        <v>25</v>
      </c>
      <c r="I15" s="8" t="s">
        <v>7</v>
      </c>
      <c r="J15" s="1">
        <v>20</v>
      </c>
      <c r="K15" s="1" t="s">
        <v>19</v>
      </c>
      <c r="L15" s="9">
        <f>VLOOKUP(Tabela1[[#This Row],[Recurso]],Tabela2[],2,FALSE)</f>
        <v>100</v>
      </c>
      <c r="M15" s="9">
        <f t="shared" si="0"/>
        <v>2000</v>
      </c>
      <c r="T15" s="5" t="s">
        <v>4</v>
      </c>
      <c r="U15" s="11">
        <v>20</v>
      </c>
      <c r="V15" s="2">
        <v>2000</v>
      </c>
    </row>
    <row r="16" spans="2:22" ht="28.8" x14ac:dyDescent="0.3">
      <c r="H16" s="1" t="s">
        <v>25</v>
      </c>
      <c r="I16" s="7" t="s">
        <v>8</v>
      </c>
      <c r="J16" s="1">
        <v>20</v>
      </c>
      <c r="K16" s="1" t="s">
        <v>19</v>
      </c>
      <c r="L16" s="9">
        <f>VLOOKUP(Tabela1[[#This Row],[Recurso]],Tabela2[],2,FALSE)</f>
        <v>100</v>
      </c>
      <c r="M16" s="9">
        <f t="shared" si="0"/>
        <v>2000</v>
      </c>
      <c r="T16" s="5" t="s">
        <v>12</v>
      </c>
      <c r="U16" s="11">
        <v>20</v>
      </c>
      <c r="V16" s="2">
        <v>2000</v>
      </c>
    </row>
    <row r="17" spans="8:22" ht="28.8" x14ac:dyDescent="0.3">
      <c r="H17" s="1" t="s">
        <v>25</v>
      </c>
      <c r="I17" s="8" t="s">
        <v>9</v>
      </c>
      <c r="J17" s="1">
        <v>24</v>
      </c>
      <c r="K17" s="1" t="s">
        <v>19</v>
      </c>
      <c r="L17" s="9">
        <f>VLOOKUP(Tabela1[[#This Row],[Recurso]],Tabela2[],2,FALSE)</f>
        <v>100</v>
      </c>
      <c r="M17" s="9">
        <f t="shared" si="0"/>
        <v>2400</v>
      </c>
      <c r="T17" s="5" t="s">
        <v>2</v>
      </c>
      <c r="U17" s="11">
        <v>30</v>
      </c>
      <c r="V17" s="2">
        <v>3000</v>
      </c>
    </row>
    <row r="18" spans="8:22" x14ac:dyDescent="0.3">
      <c r="H18" s="1" t="s">
        <v>25</v>
      </c>
      <c r="I18" s="8" t="s">
        <v>10</v>
      </c>
      <c r="J18" s="1">
        <v>20</v>
      </c>
      <c r="K18" s="1" t="s">
        <v>19</v>
      </c>
      <c r="L18" s="9">
        <f>VLOOKUP(Tabela1[[#This Row],[Recurso]],Tabela2[],2,FALSE)</f>
        <v>100</v>
      </c>
      <c r="M18" s="9">
        <f t="shared" si="0"/>
        <v>2000</v>
      </c>
      <c r="T18" s="5" t="s">
        <v>9</v>
      </c>
      <c r="U18" s="11">
        <v>24</v>
      </c>
      <c r="V18" s="2">
        <v>2400</v>
      </c>
    </row>
    <row r="19" spans="8:22" x14ac:dyDescent="0.3">
      <c r="H19" s="1" t="s">
        <v>26</v>
      </c>
      <c r="I19" s="8" t="s">
        <v>11</v>
      </c>
      <c r="J19" s="1">
        <v>16</v>
      </c>
      <c r="K19" s="1" t="s">
        <v>19</v>
      </c>
      <c r="L19" s="9">
        <f>VLOOKUP(Tabela1[[#This Row],[Recurso]],Tabela2[],2,FALSE)</f>
        <v>100</v>
      </c>
      <c r="M19" s="9">
        <f t="shared" si="0"/>
        <v>1600</v>
      </c>
      <c r="P19" s="2">
        <f>Tabela1[[#Totals],[Valor Total]]/5</f>
        <v>7788</v>
      </c>
      <c r="T19" s="5" t="s">
        <v>6</v>
      </c>
      <c r="U19" s="11">
        <v>16</v>
      </c>
      <c r="V19" s="2">
        <v>1600</v>
      </c>
    </row>
    <row r="20" spans="8:22" ht="28.8" x14ac:dyDescent="0.3">
      <c r="H20" s="1" t="s">
        <v>26</v>
      </c>
      <c r="I20" s="8" t="s">
        <v>12</v>
      </c>
      <c r="J20" s="1">
        <v>20</v>
      </c>
      <c r="K20" s="1" t="s">
        <v>19</v>
      </c>
      <c r="L20" s="9">
        <f>VLOOKUP(Tabela1[[#This Row],[Recurso]],Tabela2[],2,FALSE)</f>
        <v>100</v>
      </c>
      <c r="M20" s="9">
        <f t="shared" si="0"/>
        <v>2000</v>
      </c>
      <c r="T20" s="5" t="s">
        <v>14</v>
      </c>
      <c r="U20" s="11">
        <v>20</v>
      </c>
      <c r="V20" s="2">
        <v>2000</v>
      </c>
    </row>
    <row r="21" spans="8:22" x14ac:dyDescent="0.3">
      <c r="H21" s="1" t="s">
        <v>26</v>
      </c>
      <c r="I21" s="8" t="s">
        <v>13</v>
      </c>
      <c r="J21" s="1">
        <v>32</v>
      </c>
      <c r="K21" s="1" t="s">
        <v>19</v>
      </c>
      <c r="L21" s="9">
        <f>VLOOKUP(Tabela1[[#This Row],[Recurso]],Tabela2[],2,FALSE)</f>
        <v>100</v>
      </c>
      <c r="M21" s="9">
        <f t="shared" si="0"/>
        <v>3200</v>
      </c>
      <c r="T21" s="5" t="s">
        <v>13</v>
      </c>
      <c r="U21" s="11">
        <v>32</v>
      </c>
      <c r="V21" s="2">
        <v>3200</v>
      </c>
    </row>
    <row r="22" spans="8:22" x14ac:dyDescent="0.3">
      <c r="H22" s="1" t="s">
        <v>26</v>
      </c>
      <c r="I22" s="8" t="s">
        <v>14</v>
      </c>
      <c r="J22" s="1">
        <v>20</v>
      </c>
      <c r="K22" s="1" t="s">
        <v>19</v>
      </c>
      <c r="L22" s="9">
        <f>VLOOKUP(Tabela1[[#This Row],[Recurso]],Tabela2[],2,FALSE)</f>
        <v>100</v>
      </c>
      <c r="M22" s="9">
        <f t="shared" si="0"/>
        <v>2000</v>
      </c>
      <c r="T22" s="5" t="s">
        <v>11</v>
      </c>
      <c r="U22" s="11">
        <v>16</v>
      </c>
      <c r="V22" s="2">
        <v>1600</v>
      </c>
    </row>
    <row r="23" spans="8:22" x14ac:dyDescent="0.3">
      <c r="H23" s="1" t="s">
        <v>26</v>
      </c>
      <c r="I23" s="8" t="s">
        <v>22</v>
      </c>
      <c r="J23" s="1">
        <v>4</v>
      </c>
      <c r="K23" s="1" t="s">
        <v>23</v>
      </c>
      <c r="L23" s="9">
        <f>VLOOKUP(Tabela1[[#This Row],[Recurso]],Tabela2[],2,FALSE)</f>
        <v>120</v>
      </c>
      <c r="M23" s="9">
        <f t="shared" si="0"/>
        <v>480</v>
      </c>
      <c r="T23" s="5" t="s">
        <v>7</v>
      </c>
      <c r="U23" s="11">
        <v>20</v>
      </c>
      <c r="V23" s="2">
        <v>2000</v>
      </c>
    </row>
    <row r="24" spans="8:22" x14ac:dyDescent="0.3">
      <c r="H24" s="1" t="s">
        <v>36</v>
      </c>
      <c r="I24" s="8"/>
      <c r="J24" s="1">
        <f>SUBTOTAL(109,Tabela1[Horas])</f>
        <v>398</v>
      </c>
      <c r="K24" s="1"/>
      <c r="L24" s="1"/>
      <c r="M24" s="9">
        <f>SUBTOTAL(109,Tabela1[Valor Total])</f>
        <v>38940</v>
      </c>
      <c r="T24" s="5" t="s">
        <v>3</v>
      </c>
      <c r="U24" s="11">
        <v>20</v>
      </c>
      <c r="V24" s="2">
        <v>2000</v>
      </c>
    </row>
    <row r="25" spans="8:22" x14ac:dyDescent="0.3">
      <c r="T25" s="5" t="s">
        <v>39</v>
      </c>
      <c r="U25" s="11">
        <v>40</v>
      </c>
      <c r="V25" s="2">
        <v>4000</v>
      </c>
    </row>
    <row r="26" spans="8:22" x14ac:dyDescent="0.3">
      <c r="T26" s="4" t="s">
        <v>1</v>
      </c>
      <c r="U26" s="11">
        <v>24</v>
      </c>
      <c r="V26" s="2">
        <v>1800</v>
      </c>
    </row>
    <row r="27" spans="8:22" x14ac:dyDescent="0.3">
      <c r="T27" s="5" t="s">
        <v>27</v>
      </c>
      <c r="U27" s="11">
        <v>24</v>
      </c>
      <c r="V27" s="2">
        <v>1800</v>
      </c>
    </row>
    <row r="28" spans="8:22" x14ac:dyDescent="0.3">
      <c r="M28">
        <v>38940</v>
      </c>
      <c r="T28" s="4" t="s">
        <v>33</v>
      </c>
      <c r="U28" s="11">
        <v>398</v>
      </c>
      <c r="V28" s="2">
        <v>38940</v>
      </c>
    </row>
    <row r="29" spans="8:22" x14ac:dyDescent="0.3">
      <c r="M29">
        <f>M28/3</f>
        <v>12980</v>
      </c>
    </row>
    <row r="31" spans="8:22" x14ac:dyDescent="0.3">
      <c r="M31">
        <f>M28-M29</f>
        <v>25960</v>
      </c>
    </row>
  </sheetData>
  <pageMargins left="0.511811024" right="0.511811024" top="0.78740157499999996" bottom="0.78740157499999996" header="0.31496062000000002" footer="0.31496062000000002"/>
  <pageSetup paperSize="9" orientation="portrait"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Daivisson Sobral</dc:creator>
  <cp:lastModifiedBy>Daivisson Sobral</cp:lastModifiedBy>
  <dcterms:created xsi:type="dcterms:W3CDTF">2025-07-26T03:46:13Z</dcterms:created>
  <dcterms:modified xsi:type="dcterms:W3CDTF">2025-07-31T19:50:40Z</dcterms:modified>
</cp:coreProperties>
</file>